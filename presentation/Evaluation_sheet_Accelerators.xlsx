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pastewka/Cloud/bwsyncandshare.kit.edu/Lehre/Accelerators/Colloquium/"/>
    </mc:Choice>
  </mc:AlternateContent>
  <xr:revisionPtr revIDLastSave="0" documentId="13_ncr:1_{1E4DD8DB-0B71-584C-8CDD-618A75EB1D46}" xr6:coauthVersionLast="47" xr6:coauthVersionMax="47" xr10:uidLastSave="{00000000-0000-0000-0000-000000000000}"/>
  <bookViews>
    <workbookView xWindow="13540" yWindow="2520" windowWidth="26920" windowHeight="2680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4" i="1" l="1"/>
  <c r="B53" i="1"/>
  <c r="B56" i="1" l="1"/>
  <c r="B57" i="1" s="1"/>
</calcChain>
</file>

<file path=xl/sharedStrings.xml><?xml version="1.0" encoding="utf-8"?>
<sst xmlns="http://schemas.openxmlformats.org/spreadsheetml/2006/main" count="63" uniqueCount="55">
  <si>
    <t>Evaluation sheet for "High-Performance Computing: Distributed-memory parallelization on GPUs and accelerators"</t>
  </si>
  <si>
    <t>Summer term 2026</t>
  </si>
  <si>
    <t>Name:</t>
  </si>
  <si>
    <t>Matrikelnummer:</t>
  </si>
  <si>
    <t>Language of the presentation:</t>
  </si>
  <si>
    <t>English</t>
  </si>
  <si>
    <t>Project type:</t>
  </si>
  <si>
    <t>Lattice Boltzmann</t>
  </si>
  <si>
    <t>Set to 'Other project' for students not doing Lattice Boltzmann.</t>
  </si>
  <si>
    <t>Contents of the simulation code</t>
  </si>
  <si>
    <t>(Evaluation points: 0=missing, 1=partial or wrong, 2=complete and correct)</t>
  </si>
  <si>
    <t>Criterion</t>
  </si>
  <si>
    <t>Points</t>
  </si>
  <si>
    <t>Comment</t>
  </si>
  <si>
    <t>Streaming operator correctly implemented (Milestone 02)</t>
  </si>
  <si>
    <t>Collision operator with BGK approximation implemented (Milestone 03)</t>
  </si>
  <si>
    <t>Density and velocity field computation from distribution function</t>
  </si>
  <si>
    <t>Shear-wave decay: viscosity measurement matches analytical prediction (Milestone 04)</t>
  </si>
  <si>
    <t>Bounce-back boundary conditions implemented (Milestone 05)</t>
  </si>
  <si>
    <t>Lid-driven cavity: steady-state velocity field shown (Milestone 05)</t>
  </si>
  <si>
    <t>MPI domain decomposition with ghost cell exchange (Milestone 06)</t>
  </si>
  <si>
    <t>Validation: MPI results match serial implementation</t>
  </si>
  <si>
    <t>Kokkos parallel_for used for on-node parallelization</t>
  </si>
  <si>
    <t>Quality of the final presentation</t>
  </si>
  <si>
    <t>(Evaluation points: 0=large deficiencies, 1=acceptable, 2=perfect)</t>
  </si>
  <si>
    <t>Overall structure of the presentation</t>
  </si>
  <si>
    <t>Clarity of explanations</t>
  </si>
  <si>
    <t>Clarity of figures and visualizations</t>
  </si>
  <si>
    <t>Live demo or convincing results shown</t>
  </si>
  <si>
    <t>Understanding of the physics (responses to questions)</t>
  </si>
  <si>
    <t>Understanding of the numerics and parallelization (responses to questions)</t>
  </si>
  <si>
    <t>Code quality</t>
  </si>
  <si>
    <t>Code organization and readability</t>
  </si>
  <si>
    <t>Proper use of CMake build system</t>
  </si>
  <si>
    <t>Reproducibility*</t>
  </si>
  <si>
    <t>*can the code be compiled and run with the provided instructions</t>
  </si>
  <si>
    <t>Failure criteria and penalties (hard gates)</t>
  </si>
  <si>
    <t>(These gates override the point-based grade below. Set the grader inputs in column B.)</t>
  </si>
  <si>
    <t>Input</t>
  </si>
  <si>
    <t>Comment / guidance</t>
  </si>
  <si>
    <t>Parallelization framework used</t>
  </si>
  <si>
    <t>Kokkos + MPI (taught)</t>
  </si>
  <si>
    <t>Choose the track. 'Other framework (not taught)' exempts the student from the MPI requirement (higher entry barrier).</t>
  </si>
  <si>
    <t>Student can explain their own code (answers questions on how it works)</t>
  </si>
  <si>
    <t>Yes</t>
  </si>
  <si>
    <t>FAILURE CRITERION: 'No' = automatic fail (final grade 5.0), regardless of points.</t>
  </si>
  <si>
    <t>Content score for non-Lattice-Boltzmann projects (0-24, continuous)</t>
  </si>
  <si>
    <t>Sum of all points</t>
  </si>
  <si>
    <t>Potential maximum # points</t>
  </si>
  <si>
    <t>The Contents criteria below (rows 13-22) apply only to Lattice Boltzmann projects. For any other project type, set 'Project type' (above) to 'Other project', leave rows 13-22 blank, and enter a single continuous content score (0-20) in the hard-gate section below - the maximum is unchanged, so the overall scale is identical. Framework note: on the taught Kokkos + MPI track, MPI (Milestone 06) is mandatory; for frameworks not taught in class, MPI is not required - mark the four MPI rows and the Kokkos parallel_for row N/A by leaving their points blank.</t>
  </si>
  <si>
    <t>Code compiles (Release and Debug builds)</t>
  </si>
  <si>
    <t>Used only when Project type = 'Other project'. Replaces the itemized rows 13-24 with a single continuous score; same 20-point maximum as the Lattice Boltzmann content section.</t>
  </si>
  <si>
    <t>Grade</t>
  </si>
  <si>
    <t>Rounded grade</t>
  </si>
  <si>
    <t>Strong scaling plot with absolute performance numbers (MLUPS) and discussion of parallel efficiency (Milestone 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</si>
</sst>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b/>
      <i/>
      <sz val="10"/>
      <name val="Arial"/>
      <charset val="1"/>
    </font>
    <font>
      <sz val="10"/>
      <name val="Arial"/>
      <charset val="1"/>
    </font>
    <font>
      <sz val="10"/>
      <name val="Arial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65" fontId="3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zoomScaleNormal="100" workbookViewId="0">
      <selection activeCell="B31" sqref="B31"/>
    </sheetView>
  </sheetViews>
  <sheetFormatPr baseColWidth="10" defaultColWidth="8.6640625" defaultRowHeight="15" x14ac:dyDescent="0.2"/>
  <cols>
    <col min="1" max="1" width="55" customWidth="1"/>
    <col min="2" max="2" width="17.1640625" customWidth="1"/>
    <col min="3" max="3" width="73.6640625" customWidth="1"/>
  </cols>
  <sheetData>
    <row r="1" spans="1:3" ht="15" customHeight="1" x14ac:dyDescent="0.2">
      <c r="A1" s="1" t="s">
        <v>0</v>
      </c>
    </row>
    <row r="2" spans="1:3" ht="15" customHeight="1" x14ac:dyDescent="0.2">
      <c r="A2" s="1" t="s">
        <v>1</v>
      </c>
    </row>
    <row r="4" spans="1:3" ht="15" customHeight="1" x14ac:dyDescent="0.2">
      <c r="A4" s="2" t="s">
        <v>2</v>
      </c>
    </row>
    <row r="5" spans="1:3" ht="15" customHeight="1" x14ac:dyDescent="0.2">
      <c r="A5" s="2" t="s">
        <v>3</v>
      </c>
    </row>
    <row r="7" spans="1:3" ht="15" customHeight="1" x14ac:dyDescent="0.2">
      <c r="A7" s="1" t="s">
        <v>4</v>
      </c>
      <c r="B7" s="3" t="s">
        <v>5</v>
      </c>
    </row>
    <row r="8" spans="1:3" x14ac:dyDescent="0.2">
      <c r="A8" s="1" t="s">
        <v>6</v>
      </c>
      <c r="B8" s="3" t="s">
        <v>7</v>
      </c>
      <c r="C8" s="4" t="s">
        <v>8</v>
      </c>
    </row>
    <row r="9" spans="1:3" ht="15" customHeight="1" x14ac:dyDescent="0.2">
      <c r="A9" s="1" t="s">
        <v>9</v>
      </c>
    </row>
    <row r="10" spans="1:3" ht="15" customHeight="1" x14ac:dyDescent="0.2">
      <c r="A10" s="3" t="s">
        <v>10</v>
      </c>
    </row>
    <row r="11" spans="1:3" s="7" customFormat="1" ht="67" customHeight="1" x14ac:dyDescent="0.2">
      <c r="A11" s="5" t="s">
        <v>49</v>
      </c>
      <c r="B11" s="6"/>
      <c r="C11" s="6"/>
    </row>
    <row r="12" spans="1:3" ht="15" customHeight="1" x14ac:dyDescent="0.2">
      <c r="A12" s="2" t="s">
        <v>11</v>
      </c>
      <c r="B12" s="2" t="s">
        <v>12</v>
      </c>
      <c r="C12" s="2" t="s">
        <v>13</v>
      </c>
    </row>
    <row r="13" spans="1:3" ht="15" customHeight="1" x14ac:dyDescent="0.2">
      <c r="A13" s="4" t="s">
        <v>14</v>
      </c>
      <c r="B13" s="3">
        <v>2</v>
      </c>
    </row>
    <row r="14" spans="1:3" ht="15" customHeight="1" x14ac:dyDescent="0.2">
      <c r="A14" s="4" t="s">
        <v>15</v>
      </c>
      <c r="B14" s="3">
        <v>2</v>
      </c>
    </row>
    <row r="15" spans="1:3" ht="15" customHeight="1" x14ac:dyDescent="0.2">
      <c r="A15" s="4" t="s">
        <v>16</v>
      </c>
      <c r="B15" s="3">
        <v>2</v>
      </c>
    </row>
    <row r="16" spans="1:3" ht="28.5" customHeight="1" x14ac:dyDescent="0.2">
      <c r="A16" s="4" t="s">
        <v>17</v>
      </c>
      <c r="B16" s="3">
        <v>2</v>
      </c>
    </row>
    <row r="17" spans="1:3" ht="15" customHeight="1" x14ac:dyDescent="0.2">
      <c r="A17" s="4" t="s">
        <v>18</v>
      </c>
      <c r="B17" s="3">
        <v>2</v>
      </c>
    </row>
    <row r="18" spans="1:3" ht="15" customHeight="1" x14ac:dyDescent="0.2">
      <c r="A18" s="4" t="s">
        <v>19</v>
      </c>
      <c r="B18" s="3">
        <v>2</v>
      </c>
    </row>
    <row r="19" spans="1:3" ht="15" customHeight="1" x14ac:dyDescent="0.2">
      <c r="A19" s="4" t="s">
        <v>20</v>
      </c>
      <c r="B19" s="3">
        <v>2</v>
      </c>
    </row>
    <row r="20" spans="1:3" ht="15" customHeight="1" x14ac:dyDescent="0.2">
      <c r="A20" s="4" t="s">
        <v>21</v>
      </c>
      <c r="B20" s="3">
        <v>2</v>
      </c>
    </row>
    <row r="21" spans="1:3" ht="29" x14ac:dyDescent="0.2">
      <c r="A21" s="8" t="s">
        <v>54</v>
      </c>
      <c r="B21" s="3">
        <v>2</v>
      </c>
    </row>
    <row r="22" spans="1:3" ht="15" customHeight="1" x14ac:dyDescent="0.2">
      <c r="A22" s="4" t="s">
        <v>22</v>
      </c>
      <c r="B22" s="3">
        <v>2</v>
      </c>
    </row>
    <row r="24" spans="1:3" ht="15" customHeight="1" x14ac:dyDescent="0.2">
      <c r="A24" s="1" t="s">
        <v>23</v>
      </c>
    </row>
    <row r="25" spans="1:3" ht="15" customHeight="1" x14ac:dyDescent="0.2">
      <c r="A25" s="3" t="s">
        <v>24</v>
      </c>
    </row>
    <row r="27" spans="1:3" ht="15" customHeight="1" x14ac:dyDescent="0.2">
      <c r="A27" s="2" t="s">
        <v>11</v>
      </c>
      <c r="B27" s="2" t="s">
        <v>12</v>
      </c>
      <c r="C27" s="2" t="s">
        <v>13</v>
      </c>
    </row>
    <row r="28" spans="1:3" ht="15" customHeight="1" x14ac:dyDescent="0.2">
      <c r="A28" s="4" t="s">
        <v>25</v>
      </c>
      <c r="B28" s="3">
        <v>2</v>
      </c>
    </row>
    <row r="29" spans="1:3" ht="15" customHeight="1" x14ac:dyDescent="0.2">
      <c r="A29" s="4" t="s">
        <v>26</v>
      </c>
      <c r="B29" s="3">
        <v>2</v>
      </c>
    </row>
    <row r="30" spans="1:3" ht="15" customHeight="1" x14ac:dyDescent="0.2">
      <c r="A30" s="4" t="s">
        <v>27</v>
      </c>
      <c r="B30" s="3">
        <v>2</v>
      </c>
    </row>
    <row r="31" spans="1:3" ht="15" customHeight="1" x14ac:dyDescent="0.2">
      <c r="A31" s="4" t="s">
        <v>28</v>
      </c>
      <c r="B31" s="3">
        <v>2</v>
      </c>
    </row>
    <row r="32" spans="1:3" ht="15" customHeight="1" x14ac:dyDescent="0.2">
      <c r="A32" s="4" t="s">
        <v>29</v>
      </c>
      <c r="B32" s="3">
        <v>2</v>
      </c>
    </row>
    <row r="33" spans="1:3" ht="28.5" customHeight="1" x14ac:dyDescent="0.2">
      <c r="A33" s="4" t="s">
        <v>30</v>
      </c>
      <c r="B33" s="3">
        <v>2</v>
      </c>
    </row>
    <row r="35" spans="1:3" ht="15" customHeight="1" x14ac:dyDescent="0.2">
      <c r="A35" s="1" t="s">
        <v>31</v>
      </c>
    </row>
    <row r="36" spans="1:3" ht="15" customHeight="1" x14ac:dyDescent="0.2">
      <c r="A36" s="3" t="s">
        <v>24</v>
      </c>
    </row>
    <row r="38" spans="1:3" ht="15" customHeight="1" x14ac:dyDescent="0.2">
      <c r="A38" s="2" t="s">
        <v>11</v>
      </c>
      <c r="B38" s="2" t="s">
        <v>12</v>
      </c>
      <c r="C38" s="2" t="s">
        <v>13</v>
      </c>
    </row>
    <row r="39" spans="1:3" ht="15" customHeight="1" x14ac:dyDescent="0.2">
      <c r="A39" s="8" t="s">
        <v>50</v>
      </c>
      <c r="B39" s="3">
        <v>2</v>
      </c>
    </row>
    <row r="40" spans="1:3" ht="15" customHeight="1" x14ac:dyDescent="0.2">
      <c r="A40" s="4" t="s">
        <v>32</v>
      </c>
      <c r="B40" s="3">
        <v>2</v>
      </c>
    </row>
    <row r="41" spans="1:3" ht="15" customHeight="1" x14ac:dyDescent="0.2">
      <c r="A41" s="4" t="s">
        <v>33</v>
      </c>
      <c r="B41" s="3">
        <v>2</v>
      </c>
    </row>
    <row r="42" spans="1:3" ht="15" customHeight="1" x14ac:dyDescent="0.2">
      <c r="A42" s="4" t="s">
        <v>34</v>
      </c>
      <c r="B42" s="3">
        <v>2</v>
      </c>
    </row>
    <row r="44" spans="1:3" ht="15" customHeight="1" x14ac:dyDescent="0.2">
      <c r="A44" s="3" t="s">
        <v>35</v>
      </c>
    </row>
    <row r="46" spans="1:3" ht="15" customHeight="1" x14ac:dyDescent="0.2">
      <c r="A46" s="1" t="s">
        <v>36</v>
      </c>
    </row>
    <row r="47" spans="1:3" ht="15" customHeight="1" x14ac:dyDescent="0.2">
      <c r="A47" s="3" t="s">
        <v>37</v>
      </c>
      <c r="B47" s="3"/>
    </row>
    <row r="48" spans="1:3" ht="15" customHeight="1" x14ac:dyDescent="0.2">
      <c r="A48" s="2"/>
      <c r="B48" s="3"/>
    </row>
    <row r="49" spans="1:3" ht="15" customHeight="1" x14ac:dyDescent="0.2">
      <c r="A49" s="2" t="s">
        <v>11</v>
      </c>
      <c r="B49" s="2" t="s">
        <v>38</v>
      </c>
      <c r="C49" s="2" t="s">
        <v>39</v>
      </c>
    </row>
    <row r="50" spans="1:3" ht="28.5" customHeight="1" x14ac:dyDescent="0.2">
      <c r="A50" s="4" t="s">
        <v>40</v>
      </c>
      <c r="B50" s="3" t="s">
        <v>41</v>
      </c>
      <c r="C50" s="4" t="s">
        <v>42</v>
      </c>
    </row>
    <row r="51" spans="1:3" ht="28.5" customHeight="1" x14ac:dyDescent="0.2">
      <c r="A51" s="4" t="s">
        <v>43</v>
      </c>
      <c r="B51" s="3" t="s">
        <v>44</v>
      </c>
      <c r="C51" s="4" t="s">
        <v>45</v>
      </c>
    </row>
    <row r="52" spans="1:3" ht="28.5" customHeight="1" x14ac:dyDescent="0.2">
      <c r="A52" s="4" t="s">
        <v>46</v>
      </c>
      <c r="B52" s="3"/>
      <c r="C52" s="8" t="s">
        <v>51</v>
      </c>
    </row>
    <row r="53" spans="1:3" ht="15" customHeight="1" x14ac:dyDescent="0.2">
      <c r="A53" s="3" t="s">
        <v>47</v>
      </c>
      <c r="B53" s="3">
        <f>IF(B8="Lattice Boltzmann",SUM(B13:B22),B52)+SUM(B28:B33)+SUM(B39:B42)</f>
        <v>40</v>
      </c>
    </row>
    <row r="54" spans="1:3" ht="15" customHeight="1" x14ac:dyDescent="0.2">
      <c r="A54" s="3" t="s">
        <v>48</v>
      </c>
      <c r="B54" s="3">
        <f>IF(B8="Lattice Boltzmann",COUNT(B13:B22)*2,24)+COUNT(B28:B33)*2+COUNT(B39:B42)*2</f>
        <v>40</v>
      </c>
    </row>
    <row r="56" spans="1:3" ht="15" customHeight="1" x14ac:dyDescent="0.2">
      <c r="A56" s="9" t="s">
        <v>52</v>
      </c>
      <c r="B56" s="12">
        <f>1+(B54-B53)/(B54/2)*3</f>
        <v>1</v>
      </c>
    </row>
    <row r="57" spans="1:3" x14ac:dyDescent="0.2">
      <c r="A57" s="10" t="s">
        <v>53</v>
      </c>
      <c r="B57" s="11">
        <f>IF(ROUND(B56*3,0)&gt;=13,5,MAX(1,INT(ROUND(B56*3,0)/3)+CHOOSE(MOD(ROUND(B56*3,0),3)+1,0,0.3,0.7)))</f>
        <v>1</v>
      </c>
    </row>
  </sheetData>
  <mergeCells count="1">
    <mergeCell ref="A11:C11"/>
  </mergeCells>
  <dataValidations count="4">
    <dataValidation type="list" allowBlank="1" sqref="B50" xr:uid="{00000000-0002-0000-0000-000000000000}">
      <formula1>"Kokkos + MPI (taught),Other framework (not taught)"</formula1>
      <formula2>0</formula2>
    </dataValidation>
    <dataValidation type="list" allowBlank="1" sqref="B51" xr:uid="{00000000-0002-0000-0000-000001000000}">
      <formula1>"Yes,No"</formula1>
      <formula2>0</formula2>
    </dataValidation>
    <dataValidation type="list" allowBlank="1" sqref="B8" xr:uid="{00000000-0002-0000-0000-000003000000}">
      <formula1>"Lattice Boltzmann,Other project"</formula1>
      <formula2>0</formula2>
    </dataValidation>
    <dataValidation type="decimal" allowBlank="1" sqref="B52" xr:uid="{00000000-0002-0000-0000-000004000000}">
      <formula1>0</formula1>
      <formula2>24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Lars Pastewka</cp:lastModifiedBy>
  <cp:revision>0</cp:revision>
  <dcterms:created xsi:type="dcterms:W3CDTF">2026-03-24T07:49:29Z</dcterms:created>
  <dcterms:modified xsi:type="dcterms:W3CDTF">2026-07-10T13:11:44Z</dcterms:modified>
  <dc:language>en-US</dc:language>
</cp:coreProperties>
</file>